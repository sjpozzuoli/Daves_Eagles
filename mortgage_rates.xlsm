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enny\Modules\Module_20\Data\"/>
    </mc:Choice>
  </mc:AlternateContent>
  <xr:revisionPtr revIDLastSave="0" documentId="13_ncr:1_{648DBC88-BC45-4EA4-846E-8B0753BD60D2}" xr6:coauthVersionLast="47" xr6:coauthVersionMax="47" xr10:uidLastSave="{00000000-0000-0000-0000-000000000000}"/>
  <bookViews>
    <workbookView xWindow="28680" yWindow="-120" windowWidth="16440" windowHeight="28440" xr2:uid="{C5932BF7-9BB9-429D-A0BF-7CCB6D854C7D}"/>
  </bookViews>
  <sheets>
    <sheet name="martgage_rat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1" l="1"/>
  <c r="I11" i="1"/>
  <c r="I10" i="1"/>
  <c r="I9" i="1"/>
  <c r="I8" i="1"/>
  <c r="I7" i="1"/>
  <c r="I6" i="1"/>
  <c r="I5" i="1"/>
  <c r="I4" i="1"/>
  <c r="I3" i="1"/>
  <c r="I2" i="1"/>
  <c r="H12" i="1"/>
  <c r="H11" i="1"/>
  <c r="H10" i="1"/>
  <c r="H9" i="1"/>
  <c r="H8" i="1"/>
  <c r="H7" i="1"/>
  <c r="H6" i="1"/>
  <c r="H5" i="1"/>
  <c r="H4" i="1"/>
  <c r="H3" i="1"/>
  <c r="H2" i="1"/>
  <c r="G13" i="1"/>
  <c r="G12" i="1"/>
  <c r="G11" i="1"/>
  <c r="G10" i="1"/>
  <c r="G9" i="1"/>
  <c r="G7" i="1"/>
  <c r="G6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D6" i="1"/>
  <c r="D5" i="1"/>
  <c r="D4" i="1"/>
  <c r="D3" i="1"/>
  <c r="D2" i="1"/>
  <c r="C13" i="1"/>
  <c r="C12" i="1"/>
  <c r="C11" i="1"/>
  <c r="C5" i="1"/>
  <c r="B13" i="1"/>
</calcChain>
</file>

<file path=xl/sharedStrings.xml><?xml version="1.0" encoding="utf-8"?>
<sst xmlns="http://schemas.openxmlformats.org/spreadsheetml/2006/main" count="13" uniqueCount="13">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</sst>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Helv"/>
    </font>
    <font>
      <b/>
      <sz val="10"/>
      <name val="Helv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165" fontId="2" fillId="0" borderId="0" xfId="0" applyNumberFormat="1" applyFont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/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728B-9813-43A6-B23E-2D6C083121A2}">
  <dimension ref="A1:AE13"/>
  <sheetViews>
    <sheetView tabSelected="1" workbookViewId="0">
      <selection activeCell="J34" sqref="J34"/>
    </sheetView>
  </sheetViews>
  <sheetFormatPr defaultRowHeight="15" x14ac:dyDescent="0.25"/>
  <cols>
    <col min="1" max="1" width="10.85546875" style="1" bestFit="1" customWidth="1"/>
    <col min="2" max="31" width="5.85546875" style="1" bestFit="1" customWidth="1"/>
    <col min="32" max="16384" width="9.140625" style="1"/>
  </cols>
  <sheetData>
    <row r="1" spans="1:31" x14ac:dyDescent="0.25">
      <c r="A1" s="10" t="s">
        <v>12</v>
      </c>
      <c r="B1" s="11">
        <v>1992</v>
      </c>
      <c r="C1" s="11">
        <v>1993</v>
      </c>
      <c r="D1" s="11">
        <v>1994</v>
      </c>
      <c r="E1" s="11">
        <v>1995</v>
      </c>
      <c r="F1" s="11">
        <v>1996</v>
      </c>
      <c r="G1" s="11">
        <v>1997</v>
      </c>
      <c r="H1" s="11">
        <v>1998</v>
      </c>
      <c r="I1" s="11">
        <v>1999</v>
      </c>
      <c r="J1" s="11">
        <v>2000</v>
      </c>
      <c r="K1" s="11">
        <v>2001</v>
      </c>
      <c r="L1" s="11">
        <v>2002</v>
      </c>
      <c r="M1" s="11">
        <v>2003</v>
      </c>
      <c r="N1" s="11">
        <v>2004</v>
      </c>
      <c r="O1" s="11">
        <v>2005</v>
      </c>
      <c r="P1" s="11">
        <v>2006</v>
      </c>
      <c r="Q1" s="11">
        <v>2007</v>
      </c>
      <c r="R1" s="11">
        <v>2008</v>
      </c>
      <c r="S1" s="11">
        <v>2009</v>
      </c>
      <c r="T1" s="11">
        <v>2010</v>
      </c>
      <c r="U1" s="11">
        <v>2011</v>
      </c>
      <c r="V1" s="11">
        <v>2012</v>
      </c>
      <c r="W1" s="11">
        <v>2013</v>
      </c>
      <c r="X1" s="11">
        <v>2014</v>
      </c>
      <c r="Y1" s="11">
        <v>2015</v>
      </c>
      <c r="Z1" s="11">
        <v>2016</v>
      </c>
      <c r="AA1" s="11">
        <v>2017</v>
      </c>
      <c r="AB1" s="11">
        <v>2018</v>
      </c>
      <c r="AC1" s="11">
        <v>2019</v>
      </c>
      <c r="AD1" s="11">
        <v>2020</v>
      </c>
      <c r="AE1" s="11">
        <v>2021</v>
      </c>
    </row>
    <row r="2" spans="1:31" x14ac:dyDescent="0.25">
      <c r="A2" s="1" t="s">
        <v>0</v>
      </c>
      <c r="B2" s="3">
        <v>8.01</v>
      </c>
      <c r="C2" s="3">
        <v>7.51</v>
      </c>
      <c r="D2" s="3">
        <f>(+6.74+6.48+6.57+6.47)/4</f>
        <v>6.5649999999999995</v>
      </c>
      <c r="E2" s="8">
        <v>8.8000000000000007</v>
      </c>
      <c r="F2" s="8">
        <f>(6.56+6.59+6.53+6.5)/4</f>
        <v>6.5449999999999999</v>
      </c>
      <c r="G2" s="8">
        <f>(7.18+7.35+7.38+7.35+7.38)/5</f>
        <v>7.3280000000000003</v>
      </c>
      <c r="H2" s="8">
        <f>(6.61+6.55+6.46+6.56+6.7)/5</f>
        <v>6.5760000000000005</v>
      </c>
      <c r="I2" s="8">
        <f>(6.43+6.48+6.42+6.37)/4</f>
        <v>6.4249999999999998</v>
      </c>
      <c r="J2" s="7">
        <v>7.8</v>
      </c>
      <c r="K2" s="7">
        <v>6.64</v>
      </c>
      <c r="L2" s="7">
        <v>6.48</v>
      </c>
      <c r="M2" s="7">
        <v>5.3</v>
      </c>
      <c r="N2" s="2">
        <v>5.0199999999999996</v>
      </c>
      <c r="O2" s="5">
        <v>5.1725000000000003</v>
      </c>
      <c r="P2" s="5">
        <v>5.71</v>
      </c>
      <c r="Q2" s="7">
        <v>5.9649999999999999</v>
      </c>
      <c r="R2" s="7">
        <v>5.29</v>
      </c>
      <c r="S2" s="7">
        <v>4.72</v>
      </c>
      <c r="T2" s="7">
        <v>4.4400000000000004</v>
      </c>
      <c r="U2" s="9">
        <v>4.09</v>
      </c>
      <c r="V2" s="5">
        <v>3.2</v>
      </c>
      <c r="W2" s="5">
        <v>2.7</v>
      </c>
      <c r="X2" s="5">
        <v>3.48</v>
      </c>
      <c r="Y2" s="5">
        <v>2.99</v>
      </c>
      <c r="Z2" s="5">
        <v>3.1549999999999998</v>
      </c>
      <c r="AA2" s="5">
        <v>3.39</v>
      </c>
      <c r="AB2" s="5">
        <v>3.48</v>
      </c>
      <c r="AC2" s="5">
        <v>3.91</v>
      </c>
      <c r="AD2" s="5">
        <v>3.0720000000000001</v>
      </c>
      <c r="AE2" s="5">
        <v>2.2000000000000002</v>
      </c>
    </row>
    <row r="3" spans="1:31" x14ac:dyDescent="0.25">
      <c r="A3" s="1" t="s">
        <v>1</v>
      </c>
      <c r="B3" s="3">
        <v>8.3800000000000008</v>
      </c>
      <c r="C3" s="3">
        <v>7.17</v>
      </c>
      <c r="D3" s="3">
        <f>(+6.46+6.72+6.64+6.8)/4</f>
        <v>6.6550000000000002</v>
      </c>
      <c r="E3" s="8">
        <v>8.4600000000000009</v>
      </c>
      <c r="F3" s="8">
        <f>(6.52+6.51+6.44+6.77)/4</f>
        <v>6.56</v>
      </c>
      <c r="G3" s="8">
        <f>(7.25+7.14+7.06+7.15)/4</f>
        <v>7.15</v>
      </c>
      <c r="H3" s="8">
        <f>(6.62+6.65+6.59+6.69)/4</f>
        <v>6.6375000000000002</v>
      </c>
      <c r="I3" s="8">
        <f>(6.38+6.4+6.46+6.51)/4</f>
        <v>6.4375</v>
      </c>
      <c r="J3" s="7">
        <v>7.93</v>
      </c>
      <c r="K3" s="7">
        <v>6.64</v>
      </c>
      <c r="L3" s="7">
        <v>6.38</v>
      </c>
      <c r="M3" s="7">
        <v>5.22</v>
      </c>
      <c r="N3" s="2">
        <v>4.9400000000000004</v>
      </c>
      <c r="O3" s="5">
        <v>5.15</v>
      </c>
      <c r="P3" s="5">
        <v>5.86</v>
      </c>
      <c r="Q3" s="7">
        <v>6.02</v>
      </c>
      <c r="R3" s="7">
        <v>5.44</v>
      </c>
      <c r="S3" s="7">
        <v>4.7699999999999996</v>
      </c>
      <c r="T3" s="7">
        <v>4.37</v>
      </c>
      <c r="U3" s="9">
        <v>4.22</v>
      </c>
      <c r="V3" s="5">
        <v>3.16</v>
      </c>
      <c r="W3" s="5">
        <v>2.77</v>
      </c>
      <c r="X3" s="5">
        <v>3.35</v>
      </c>
      <c r="Y3" s="5">
        <v>3.01</v>
      </c>
      <c r="Z3" s="5">
        <v>2.96</v>
      </c>
      <c r="AA3" s="5">
        <v>3.38</v>
      </c>
      <c r="AB3" s="5">
        <v>3.79</v>
      </c>
      <c r="AC3" s="5">
        <v>3.8</v>
      </c>
      <c r="AD3" s="5">
        <v>2.97</v>
      </c>
      <c r="AE3" s="5">
        <v>2.2400000000000002</v>
      </c>
    </row>
    <row r="4" spans="1:31" x14ac:dyDescent="0.25">
      <c r="A4" s="1" t="s">
        <v>2</v>
      </c>
      <c r="B4" s="3">
        <v>8.58</v>
      </c>
      <c r="C4" s="3">
        <v>7</v>
      </c>
      <c r="D4" s="3">
        <f>(+7.01+7.15+7.27+7.3)/4</f>
        <v>7.1825000000000001</v>
      </c>
      <c r="E4" s="8">
        <v>8.06</v>
      </c>
      <c r="F4" s="8">
        <f>(6.87+6.87+7.32+7.32+7.19)/5</f>
        <v>7.1139999999999999</v>
      </c>
      <c r="G4" s="8">
        <f>(7.35+7.34+7.45+7.48)/4</f>
        <v>7.4050000000000002</v>
      </c>
      <c r="H4" s="8">
        <f>(6.8+6.78+6.7+6.69)/4</f>
        <v>6.7425000000000006</v>
      </c>
      <c r="I4" s="8">
        <f>(6.7+6.75+6.64+6.61)/4</f>
        <v>6.6749999999999998</v>
      </c>
      <c r="J4" s="7">
        <v>7.83</v>
      </c>
      <c r="K4" s="7">
        <v>6.51</v>
      </c>
      <c r="L4" s="7">
        <v>6.52</v>
      </c>
      <c r="M4" s="7">
        <v>5.07</v>
      </c>
      <c r="N4" s="2">
        <v>4.74</v>
      </c>
      <c r="O4" s="5">
        <v>5.46</v>
      </c>
      <c r="P4" s="5">
        <v>5.97</v>
      </c>
      <c r="Q4" s="7">
        <v>5.88</v>
      </c>
      <c r="R4" s="7">
        <v>5.42</v>
      </c>
      <c r="S4" s="7">
        <v>4.6399999999999997</v>
      </c>
      <c r="T4" s="7">
        <v>4.33</v>
      </c>
      <c r="U4" s="9">
        <v>4.08</v>
      </c>
      <c r="V4" s="5">
        <v>3.2</v>
      </c>
      <c r="W4" s="5">
        <v>2.76</v>
      </c>
      <c r="X4" s="5">
        <v>3.36</v>
      </c>
      <c r="Y4" s="5">
        <v>3.04</v>
      </c>
      <c r="Z4" s="5">
        <v>2.9660000000000002</v>
      </c>
      <c r="AA4" s="5">
        <v>3.41</v>
      </c>
      <c r="AB4" s="5">
        <v>3.91</v>
      </c>
      <c r="AC4" s="5">
        <v>3.72</v>
      </c>
      <c r="AD4" s="5">
        <v>2.8850000000000002</v>
      </c>
      <c r="AE4" s="5">
        <v>2.39</v>
      </c>
    </row>
    <row r="5" spans="1:31" x14ac:dyDescent="0.25">
      <c r="A5" s="1" t="s">
        <v>3</v>
      </c>
      <c r="B5" s="3">
        <v>8.4700000000000006</v>
      </c>
      <c r="C5" s="3">
        <f>(+7.07+6.93+6.86+6.91)/4</f>
        <v>6.9424999999999999</v>
      </c>
      <c r="D5" s="3">
        <f>(+7.91+7.72+7.97+7.85+7.55)/5</f>
        <v>7.8</v>
      </c>
      <c r="E5" s="8">
        <v>7.88</v>
      </c>
      <c r="F5" s="8">
        <f>(7.29+7.56+7.48+7.43)/4</f>
        <v>7.4399999999999995</v>
      </c>
      <c r="G5" s="8">
        <f>(7.7+7.67+7.71+7.62)/4</f>
        <v>7.6750000000000007</v>
      </c>
      <c r="H5" s="4">
        <f>(6.79+6.74+6.81+6.78)/4</f>
        <v>6.78</v>
      </c>
      <c r="I5" s="8">
        <f>(6.58+6.53+6.47+6.51+6.55)/5</f>
        <v>6.5279999999999987</v>
      </c>
      <c r="J5" s="7">
        <v>7.8</v>
      </c>
      <c r="K5" s="7">
        <v>6.6</v>
      </c>
      <c r="L5" s="7">
        <v>6.48</v>
      </c>
      <c r="M5" s="7">
        <v>5.12</v>
      </c>
      <c r="N5" s="2">
        <v>5.16</v>
      </c>
      <c r="O5" s="6">
        <v>5.41</v>
      </c>
      <c r="P5" s="6">
        <v>6.16</v>
      </c>
      <c r="Q5" s="7">
        <v>5.88</v>
      </c>
      <c r="R5" s="7">
        <v>5.47</v>
      </c>
      <c r="S5" s="7">
        <v>4.5</v>
      </c>
      <c r="T5" s="7">
        <v>4.42</v>
      </c>
      <c r="U5" s="9">
        <v>4.0599999999999996</v>
      </c>
      <c r="V5" s="6">
        <v>3.14</v>
      </c>
      <c r="W5" s="6">
        <v>2.66</v>
      </c>
      <c r="X5" s="6">
        <v>3.39</v>
      </c>
      <c r="Y5" s="5">
        <v>2.9420000000000002</v>
      </c>
      <c r="Z5" s="5">
        <v>2.87</v>
      </c>
      <c r="AA5" s="5">
        <v>3.3</v>
      </c>
      <c r="AB5" s="5">
        <v>3.93</v>
      </c>
      <c r="AC5" s="6">
        <v>3.61</v>
      </c>
      <c r="AD5" s="5">
        <v>2.8039999999999998</v>
      </c>
      <c r="AE5" s="5">
        <v>2.36</v>
      </c>
    </row>
    <row r="6" spans="1:31" x14ac:dyDescent="0.25">
      <c r="A6" s="1" t="s">
        <v>4</v>
      </c>
      <c r="B6" s="3">
        <v>8.2899999999999991</v>
      </c>
      <c r="C6" s="3">
        <v>6.93</v>
      </c>
      <c r="D6" s="3">
        <f>(+8.03+8.25+8.04+7.99)/4</f>
        <v>8.0775000000000006</v>
      </c>
      <c r="E6" s="8">
        <v>7.51</v>
      </c>
      <c r="F6" s="8">
        <f>(7.5+7.75+7.59+7.51+7.54)/5</f>
        <v>7.5780000000000003</v>
      </c>
      <c r="G6" s="8">
        <f>(7.53+7.47+7.44+7.45+7.47)/5</f>
        <v>7.4719999999999995</v>
      </c>
      <c r="H6" s="8">
        <f>(6.85+6.78+6.82+6.75+6.72)/5</f>
        <v>6.7840000000000007</v>
      </c>
      <c r="I6" s="8">
        <f>(6.61+6.71+6.83+6.84)/4</f>
        <v>6.7474999999999996</v>
      </c>
      <c r="J6" s="7">
        <v>8.18</v>
      </c>
      <c r="K6" s="7">
        <v>6.68</v>
      </c>
      <c r="L6" s="7">
        <v>6.28</v>
      </c>
      <c r="M6" s="7">
        <v>4.8600000000000003</v>
      </c>
      <c r="N6" s="2">
        <v>5.64</v>
      </c>
      <c r="O6" s="5">
        <v>5.28</v>
      </c>
      <c r="P6" s="5">
        <v>6.21</v>
      </c>
      <c r="Q6" s="7">
        <v>5.97</v>
      </c>
      <c r="R6" s="7">
        <v>5.6</v>
      </c>
      <c r="S6" s="7">
        <v>4.5199999999999996</v>
      </c>
      <c r="T6" s="7">
        <v>4.28</v>
      </c>
      <c r="U6" s="9">
        <v>3.82</v>
      </c>
      <c r="V6" s="5">
        <v>3.03</v>
      </c>
      <c r="W6" s="5">
        <v>2.72</v>
      </c>
      <c r="X6" s="5">
        <v>3.29</v>
      </c>
      <c r="Y6" s="5">
        <v>3.0625</v>
      </c>
      <c r="Z6" s="5">
        <v>2.8424999999999998</v>
      </c>
      <c r="AA6" s="5">
        <v>3.26</v>
      </c>
      <c r="AB6" s="5">
        <v>4.0659999999999998</v>
      </c>
      <c r="AC6" s="5">
        <v>3.53</v>
      </c>
      <c r="AD6" s="5">
        <v>2.69</v>
      </c>
      <c r="AE6" s="5">
        <v>2.2799999999999998</v>
      </c>
    </row>
    <row r="7" spans="1:31" x14ac:dyDescent="0.25">
      <c r="A7" s="1" t="s">
        <v>5</v>
      </c>
      <c r="B7" s="3">
        <v>8.08</v>
      </c>
      <c r="C7" s="3">
        <v>6.92</v>
      </c>
      <c r="D7" s="3">
        <v>7.91</v>
      </c>
      <c r="E7" s="8">
        <v>7.06</v>
      </c>
      <c r="F7" s="8">
        <f>(7.8+7.9+7.81+7.82)/4</f>
        <v>7.8324999999999996</v>
      </c>
      <c r="G7" s="8">
        <f>(7.4+7.27+7.14+7.13)/4</f>
        <v>7.2349999999999994</v>
      </c>
      <c r="H7" s="8">
        <f>(6.7+6.71+6.62+6.64)/4</f>
        <v>6.6675000000000004</v>
      </c>
      <c r="I7" s="8">
        <f>(7.04+7.13+7.26+7.28)/4</f>
        <v>7.1775000000000002</v>
      </c>
      <c r="J7" s="7">
        <v>7.99</v>
      </c>
      <c r="K7" s="7">
        <v>6.7</v>
      </c>
      <c r="L7" s="7">
        <v>6.11</v>
      </c>
      <c r="M7" s="7">
        <v>4.63</v>
      </c>
      <c r="N7" s="2">
        <v>5.66</v>
      </c>
      <c r="O7" s="5">
        <v>5.17</v>
      </c>
      <c r="P7" s="5">
        <v>6.31</v>
      </c>
      <c r="Q7" s="7">
        <v>6.34</v>
      </c>
      <c r="R7" s="7">
        <v>5.91</v>
      </c>
      <c r="S7" s="7">
        <v>4.9000000000000004</v>
      </c>
      <c r="T7" s="7">
        <v>4.18</v>
      </c>
      <c r="U7" s="9">
        <v>3.69</v>
      </c>
      <c r="V7" s="5">
        <v>2.95</v>
      </c>
      <c r="W7" s="5">
        <v>3.17</v>
      </c>
      <c r="X7" s="5">
        <v>3.27</v>
      </c>
      <c r="Y7" s="5">
        <v>3.19</v>
      </c>
      <c r="Z7" s="5">
        <v>2.8420000000000001</v>
      </c>
      <c r="AA7" s="5">
        <v>3.17</v>
      </c>
      <c r="AB7" s="5">
        <v>4.04</v>
      </c>
      <c r="AC7" s="5">
        <v>3.24</v>
      </c>
      <c r="AD7" s="5">
        <v>2.6</v>
      </c>
      <c r="AE7" s="5">
        <v>2.27</v>
      </c>
    </row>
    <row r="8" spans="1:31" x14ac:dyDescent="0.25">
      <c r="A8" s="1" t="s">
        <v>6</v>
      </c>
      <c r="B8" s="3">
        <v>7.67</v>
      </c>
      <c r="C8" s="3">
        <v>6.72</v>
      </c>
      <c r="D8" s="3">
        <v>8.11</v>
      </c>
      <c r="E8" s="8">
        <v>7.09</v>
      </c>
      <c r="F8" s="8">
        <f>(7.67+7.93+7.76+7.71)/4</f>
        <v>7.7675000000000001</v>
      </c>
      <c r="G8" s="8">
        <v>7.04</v>
      </c>
      <c r="H8" s="8">
        <f>(6.65+6.6+6.6+6.63+6.64)/5</f>
        <v>6.6239999999999997</v>
      </c>
      <c r="I8" s="8">
        <f>(7.34+7.3+7.19+7.16+7.29)/5</f>
        <v>7.2560000000000002</v>
      </c>
      <c r="J8" s="7">
        <v>7.87</v>
      </c>
      <c r="K8" s="7">
        <v>6.68</v>
      </c>
      <c r="L8" s="7">
        <v>5.93</v>
      </c>
      <c r="M8" s="7">
        <v>4.97</v>
      </c>
      <c r="N8" s="2">
        <v>5.46</v>
      </c>
      <c r="O8" s="5">
        <v>5.28</v>
      </c>
      <c r="P8" s="5">
        <v>6.39</v>
      </c>
      <c r="Q8" s="7">
        <v>6.36</v>
      </c>
      <c r="R8" s="7">
        <v>5.97</v>
      </c>
      <c r="S8" s="7">
        <v>4.6900000000000004</v>
      </c>
      <c r="T8" s="7">
        <v>4.04</v>
      </c>
      <c r="U8" s="9">
        <v>3.68</v>
      </c>
      <c r="V8" s="5">
        <v>2.85</v>
      </c>
      <c r="W8" s="5">
        <v>3.43</v>
      </c>
      <c r="X8" s="5">
        <v>3.24</v>
      </c>
      <c r="Y8" s="5">
        <v>3.214</v>
      </c>
      <c r="Z8" s="5">
        <v>2.7475000000000001</v>
      </c>
      <c r="AA8" s="5">
        <v>3.24</v>
      </c>
      <c r="AB8" s="5">
        <v>4.01</v>
      </c>
      <c r="AC8" s="5">
        <v>3.2</v>
      </c>
      <c r="AD8" s="5">
        <v>2.52</v>
      </c>
      <c r="AE8" s="5">
        <v>2.1800000000000002</v>
      </c>
    </row>
    <row r="9" spans="1:31" x14ac:dyDescent="0.25">
      <c r="A9" s="1" t="s">
        <v>7</v>
      </c>
      <c r="B9" s="3">
        <v>7.49</v>
      </c>
      <c r="C9" s="3">
        <v>6.63</v>
      </c>
      <c r="D9" s="3">
        <v>8.02</v>
      </c>
      <c r="E9" s="8">
        <v>7.36</v>
      </c>
      <c r="F9" s="8">
        <f>(7.75+7.4+7.39+7.45+7.6)/5</f>
        <v>7.5179999999999989</v>
      </c>
      <c r="G9" s="8">
        <f>(6.9+7+7.07+6.99+7.12)/5</f>
        <v>7.016</v>
      </c>
      <c r="H9" s="8">
        <f>(6.63+6.6+6.61+6.61)/4</f>
        <v>6.6124999999999998</v>
      </c>
      <c r="I9" s="8">
        <f>(7.45+7.7+7.53+7.43)/4</f>
        <v>7.5274999999999999</v>
      </c>
      <c r="J9" s="7">
        <v>7.7625000000000002</v>
      </c>
      <c r="K9" s="7">
        <v>6.5</v>
      </c>
      <c r="L9" s="7">
        <v>5.7</v>
      </c>
      <c r="M9" s="7">
        <v>5.59</v>
      </c>
      <c r="N9" s="2">
        <v>5.26</v>
      </c>
      <c r="O9" s="5">
        <v>5.4</v>
      </c>
      <c r="P9" s="5">
        <v>6.2</v>
      </c>
      <c r="Q9" s="7">
        <v>6.23</v>
      </c>
      <c r="R9" s="7">
        <v>6.03</v>
      </c>
      <c r="S9" s="7">
        <v>4.6100000000000003</v>
      </c>
      <c r="T9" s="7">
        <v>3.91</v>
      </c>
      <c r="U9" s="9">
        <v>3.46</v>
      </c>
      <c r="V9" s="5">
        <v>2.86</v>
      </c>
      <c r="W9" s="5">
        <v>3.49</v>
      </c>
      <c r="X9" s="5">
        <v>3.25</v>
      </c>
      <c r="Y9" s="5">
        <v>3.13</v>
      </c>
      <c r="Z9" s="5">
        <v>2.75</v>
      </c>
      <c r="AA9" s="5">
        <v>3.16</v>
      </c>
      <c r="AB9" s="5">
        <v>4.0199999999999996</v>
      </c>
      <c r="AC9" s="5">
        <v>3.08</v>
      </c>
      <c r="AD9" s="5">
        <v>2.48</v>
      </c>
    </row>
    <row r="10" spans="1:31" x14ac:dyDescent="0.25">
      <c r="A10" s="1" t="s">
        <v>8</v>
      </c>
      <c r="B10" s="3">
        <v>7.41</v>
      </c>
      <c r="C10" s="3">
        <v>6.43</v>
      </c>
      <c r="D10" s="3">
        <v>8.1300000000000008</v>
      </c>
      <c r="E10" s="8">
        <f>(7.27+7.16+7.12+7.09+7.16)/5</f>
        <v>7.1599999999999993</v>
      </c>
      <c r="F10" s="8">
        <f>(7.88+7.81+7.64+7.68)/4</f>
        <v>7.7524999999999995</v>
      </c>
      <c r="G10" s="8">
        <f>(7.08+7.07+6.94+6.86)/4</f>
        <v>6.9874999999999998</v>
      </c>
      <c r="H10" s="8">
        <f>(6.51+6.43+6.35+6.32)/4</f>
        <v>6.4024999999999999</v>
      </c>
      <c r="I10" s="8">
        <f>(7.45+7.49+7.43+7.4)/4</f>
        <v>7.4425000000000008</v>
      </c>
      <c r="J10" s="7">
        <v>7.6</v>
      </c>
      <c r="K10" s="7">
        <v>6.34</v>
      </c>
      <c r="L10" s="7">
        <v>5.51</v>
      </c>
      <c r="M10" s="7">
        <v>5.46</v>
      </c>
      <c r="N10" s="2">
        <v>5.14</v>
      </c>
      <c r="O10" s="7">
        <v>5.36</v>
      </c>
      <c r="P10" s="7">
        <v>6.08</v>
      </c>
      <c r="Q10" s="7">
        <v>6.05</v>
      </c>
      <c r="R10" s="7">
        <v>5.64</v>
      </c>
      <c r="S10" s="7">
        <v>4.49</v>
      </c>
      <c r="T10" s="7">
        <v>3.81</v>
      </c>
      <c r="U10" s="9">
        <v>3.32</v>
      </c>
      <c r="V10" s="7">
        <v>2.8</v>
      </c>
      <c r="W10" s="7">
        <v>3.52</v>
      </c>
      <c r="X10" s="7">
        <v>3.31</v>
      </c>
      <c r="Y10" s="7">
        <v>3.0950000000000002</v>
      </c>
      <c r="Z10" s="7">
        <v>2.76</v>
      </c>
      <c r="AA10" s="7">
        <v>3.11</v>
      </c>
      <c r="AB10" s="7">
        <v>4.08</v>
      </c>
      <c r="AC10" s="7">
        <v>3.12</v>
      </c>
      <c r="AD10" s="7">
        <v>2.39</v>
      </c>
    </row>
    <row r="11" spans="1:31" x14ac:dyDescent="0.25">
      <c r="A11" s="1" t="s">
        <v>9</v>
      </c>
      <c r="B11" s="3">
        <v>7.55</v>
      </c>
      <c r="C11" s="3">
        <f>(+6.41+6.39+6.36+6.31+6.4)/5</f>
        <v>6.3739999999999997</v>
      </c>
      <c r="D11" s="3">
        <v>8.39</v>
      </c>
      <c r="E11" s="8">
        <f>(7.09+7.01+6.92+7.01)/4</f>
        <v>7.0075000000000003</v>
      </c>
      <c r="F11" s="8">
        <f>(7.58+7.38+7.39+7.37)/4</f>
        <v>7.4300000000000006</v>
      </c>
      <c r="G11" s="8">
        <f>(6.87+6.82+6.89+6.9+6.76)/5</f>
        <v>6.8480000000000008</v>
      </c>
      <c r="H11" s="8">
        <f>(6.27+6.15+6.58+6.34+6.48)/5</f>
        <v>6.3639999999999999</v>
      </c>
      <c r="I11" s="8">
        <f>(7.35+7.43+7.45+7.53+7.57)/5</f>
        <v>7.4659999999999993</v>
      </c>
      <c r="J11" s="7">
        <v>7.47</v>
      </c>
      <c r="K11" s="7">
        <v>6.1</v>
      </c>
      <c r="L11" s="7">
        <v>5.5</v>
      </c>
      <c r="M11" s="7">
        <v>5.27</v>
      </c>
      <c r="N11" s="2">
        <v>5.12</v>
      </c>
      <c r="O11" s="7">
        <v>5.63</v>
      </c>
      <c r="P11" s="7">
        <v>6.05</v>
      </c>
      <c r="Q11" s="7">
        <v>6.04</v>
      </c>
      <c r="R11" s="7">
        <v>5.89</v>
      </c>
      <c r="S11" s="7">
        <v>4.3899999999999997</v>
      </c>
      <c r="T11" s="7">
        <v>3.66</v>
      </c>
      <c r="U11" s="9">
        <v>3.35</v>
      </c>
      <c r="V11" s="7">
        <v>2.69</v>
      </c>
      <c r="W11" s="7">
        <v>3.27</v>
      </c>
      <c r="X11" s="7">
        <v>3.21</v>
      </c>
      <c r="Y11" s="7">
        <v>3.01</v>
      </c>
      <c r="Z11" s="7">
        <v>2.76</v>
      </c>
      <c r="AA11" s="7">
        <v>3.2</v>
      </c>
      <c r="AB11" s="7">
        <v>4.25</v>
      </c>
      <c r="AC11" s="7">
        <v>3.14</v>
      </c>
      <c r="AD11" s="7">
        <v>2.35</v>
      </c>
    </row>
    <row r="12" spans="1:31" x14ac:dyDescent="0.25">
      <c r="A12" s="1" t="s">
        <v>10</v>
      </c>
      <c r="B12" s="3">
        <v>7.8</v>
      </c>
      <c r="C12" s="3">
        <f>(+6.65+6.64+6.62+6.84)/4</f>
        <v>6.6875</v>
      </c>
      <c r="D12" s="3">
        <v>8.67</v>
      </c>
      <c r="E12" s="8">
        <f>(6.97+6.87+6.86+6.85)/4</f>
        <v>6.8874999999999993</v>
      </c>
      <c r="F12" s="8">
        <f>(7.3+7.2+7.11+7.06+7.04)/5</f>
        <v>7.1420000000000003</v>
      </c>
      <c r="G12" s="8">
        <f>(6.8+6.78+6.73+6.73)/4</f>
        <v>6.7600000000000007</v>
      </c>
      <c r="H12" s="8">
        <f>(6.5+6.57+6.51+6.44)/4</f>
        <v>6.5049999999999999</v>
      </c>
      <c r="I12" s="8">
        <f>(7.45+7.3+7.31+7.36)/4</f>
        <v>7.3549999999999995</v>
      </c>
      <c r="J12" s="7">
        <v>7.42</v>
      </c>
      <c r="K12" s="7">
        <v>6.15</v>
      </c>
      <c r="L12" s="7">
        <v>5.46</v>
      </c>
      <c r="M12" s="7">
        <v>5.27</v>
      </c>
      <c r="N12" s="2">
        <v>5.14</v>
      </c>
      <c r="O12" s="7">
        <v>5.86</v>
      </c>
      <c r="P12" s="7">
        <v>5.96</v>
      </c>
      <c r="Q12" s="7">
        <v>5.85</v>
      </c>
      <c r="R12" s="7">
        <v>5.79</v>
      </c>
      <c r="S12" s="7">
        <v>4.34</v>
      </c>
      <c r="T12" s="7">
        <v>3.68</v>
      </c>
      <c r="U12" s="9">
        <v>3.31</v>
      </c>
      <c r="V12" s="7">
        <v>2.66</v>
      </c>
      <c r="W12" s="7">
        <v>3.3</v>
      </c>
      <c r="X12" s="7">
        <v>3.19</v>
      </c>
      <c r="Y12" s="7">
        <v>3.16</v>
      </c>
      <c r="Z12" s="7">
        <v>3.03</v>
      </c>
      <c r="AA12" s="7">
        <v>3.29</v>
      </c>
      <c r="AB12" s="7">
        <v>4.28</v>
      </c>
      <c r="AC12" s="7">
        <v>3.16</v>
      </c>
      <c r="AD12" s="7">
        <v>2.31</v>
      </c>
    </row>
    <row r="13" spans="1:31" x14ac:dyDescent="0.25">
      <c r="A13" s="1" t="s">
        <v>11</v>
      </c>
      <c r="B13" s="3">
        <f>(+7.87+7.77+7.74+7.65+7.68)/5</f>
        <v>7.742</v>
      </c>
      <c r="C13" s="3">
        <f>(+6.74+6.65+6.7+6.69+6.63)/5</f>
        <v>6.6820000000000004</v>
      </c>
      <c r="D13" s="3">
        <v>8.8000000000000007</v>
      </c>
      <c r="E13" s="8">
        <f>(6.85+6.74+6.71+6.73+6.65)/5</f>
        <v>6.7359999999999998</v>
      </c>
      <c r="F13" s="8">
        <f>(6.96+7.06+7.21+7.16)/4</f>
        <v>7.0975000000000001</v>
      </c>
      <c r="G13" s="8">
        <f>(6.71+6.72+6.65+6.57)/4</f>
        <v>6.6624999999999996</v>
      </c>
      <c r="H13" s="4">
        <v>6.39</v>
      </c>
      <c r="I13" s="12">
        <v>7.52</v>
      </c>
      <c r="J13" s="13">
        <v>7.06</v>
      </c>
      <c r="K13" s="13">
        <v>6.54</v>
      </c>
      <c r="L13" s="13">
        <v>5.45</v>
      </c>
      <c r="M13" s="13">
        <v>5.2</v>
      </c>
      <c r="N13" s="14">
        <v>5.18</v>
      </c>
      <c r="O13" s="7">
        <v>5.82</v>
      </c>
      <c r="P13" s="7">
        <v>5.88</v>
      </c>
      <c r="Q13" s="7">
        <v>5.75</v>
      </c>
      <c r="R13" s="7">
        <v>5.04</v>
      </c>
      <c r="S13" s="7">
        <v>4.3899999999999997</v>
      </c>
      <c r="T13" s="7">
        <v>4.0599999999999996</v>
      </c>
      <c r="U13" s="9">
        <v>3.25</v>
      </c>
      <c r="V13" s="7">
        <v>2.66</v>
      </c>
      <c r="W13" s="7">
        <v>3.48</v>
      </c>
      <c r="X13" s="7">
        <v>3.13</v>
      </c>
      <c r="Y13" s="7">
        <v>3.21</v>
      </c>
      <c r="Z13" s="7">
        <v>3.43</v>
      </c>
      <c r="AA13" s="7">
        <v>3.39</v>
      </c>
      <c r="AB13" s="7">
        <v>4.09</v>
      </c>
      <c r="AC13" s="7">
        <v>3.18</v>
      </c>
      <c r="AD13" s="7">
        <v>2.2200000000000002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martgage_rates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Supple</dc:creator>
  <cp:lastModifiedBy>David Supple</cp:lastModifiedBy>
  <dcterms:created xsi:type="dcterms:W3CDTF">2021-08-28T23:02:28Z</dcterms:created>
  <dcterms:modified xsi:type="dcterms:W3CDTF">2021-08-28T23:47:05Z</dcterms:modified>
</cp:coreProperties>
</file>